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bhara\Documents\Data analyst Valli\Excel\"/>
    </mc:Choice>
  </mc:AlternateContent>
  <xr:revisionPtr revIDLastSave="0" documentId="13_ncr:1_{45919BF9-FAC4-4E3B-ABCE-74C601549241}"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2" r:id="rId2"/>
    <sheet name="Pivot table" sheetId="3" r:id="rId3"/>
    <sheet name="Dash board" sheetId="4" r:id="rId4"/>
  </sheets>
  <definedNames>
    <definedName name="_xlnm._FilterDatabase" localSheetId="0" hidden="1">bike_buyers!$A$1:$M$1001</definedName>
    <definedName name="_xlnm._FilterDatabase" localSheetId="1" hidden="1">'Working Sheet'!$A$1:$N$1001</definedName>
    <definedName name="Slicer_Commute_Distance">#N/A</definedName>
    <definedName name="Slicer_Education">#N/A</definedName>
    <definedName name="Slicer_Married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<sst xmlns="http://schemas.openxmlformats.org/spreadsheetml/2006/main" count="16267" uniqueCount="52">
  <si>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</si>
  <si>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</si>
  <si>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</si>
  <si>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</si>
  <si>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</si>
  <si>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</si>
  <si>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</si>
  <si>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</si>
  <si>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</si>
  <si>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</si>
  <si>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</si>
  <si>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</si>
  <si>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</si>
  <si>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</si>
  <si>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</si>
  <si>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</si>
  <si>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</si>
  <si>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</si>
  <si>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</si>
  <si>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</si>
  <si>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</si>
  <si>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</si>
  <si>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</si>
  <si>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</si>
  <si>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</si>
  <si>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</si>
  <si>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</si>
  <si>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</si>
  <si>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</si>
  <si>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</si>
  <si>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</si>
  <si>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</si>
  <si>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</si>
  <si>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</si>
  <si>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</si>
  <si>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</si>
  <si>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Marriedarital Status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</si>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</sst>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8" tint="0.79998168889431442"/>
      <name val="Calibri"/>
      <family val="2"/>
      <scheme val="minor"/>
    </font>
    <font>
      <sz val="28"/>
      <color theme="1"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19" fillId="33" borderId="0" xfId="0" applyFont="1" applyFill="1" applyAlignment="1">
      <alignment vertical="top"/>
    </xf>
    <xf numFmtId="0" fontId="20" fillId="33" borderId="0" xfId="0" applyFont="1" applyFill="1" applyAlignment="1">
      <alignment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 (Alex the analyst).xlsx]Pivot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a:p>
            <a:pPr>
              <a:defRPr/>
            </a:pPr>
            <a:endParaRPr lang="en-US"/>
          </a:p>
        </c:rich>
      </c:tx>
      <c:layout>
        <c:manualLayout>
          <c:xMode val="edge"/>
          <c:yMode val="edge"/>
          <c:x val="0.2785790485866686"/>
          <c:y val="2.3541863784338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59084115901943"/>
          <c:y val="0.10704038707490331"/>
          <c:w val="0.47146862087783581"/>
          <c:h val="0.56218536636408833"/>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28928.571428571428</c:v>
                </c:pt>
                <c:pt idx="1">
                  <c:v>32500</c:v>
                </c:pt>
              </c:numCache>
            </c:numRef>
          </c:val>
          <c:extLst>
            <c:ext xmlns:c16="http://schemas.microsoft.com/office/drawing/2014/chart" uri="{C3380CC4-5D6E-409C-BE32-E72D297353CC}">
              <c16:uniqueId val="{00000000-45DC-4B1A-831A-A61014344F4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32000</c:v>
                </c:pt>
                <c:pt idx="1">
                  <c:v>58000</c:v>
                </c:pt>
              </c:numCache>
            </c:numRef>
          </c:val>
          <c:extLst>
            <c:ext xmlns:c16="http://schemas.microsoft.com/office/drawing/2014/chart" uri="{C3380CC4-5D6E-409C-BE32-E72D297353CC}">
              <c16:uniqueId val="{00000001-45DC-4B1A-831A-A61014344F45}"/>
            </c:ext>
          </c:extLst>
        </c:ser>
        <c:dLbls>
          <c:showLegendKey val="0"/>
          <c:showVal val="0"/>
          <c:showCatName val="0"/>
          <c:showSerName val="0"/>
          <c:showPercent val="0"/>
          <c:showBubbleSize val="0"/>
        </c:dLbls>
        <c:gapWidth val="219"/>
        <c:overlap val="-27"/>
        <c:axId val="1139520671"/>
        <c:axId val="1139526431"/>
      </c:barChart>
      <c:catAx>
        <c:axId val="1139520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26431"/>
        <c:crosses val="autoZero"/>
        <c:auto val="1"/>
        <c:lblAlgn val="ctr"/>
        <c:lblOffset val="100"/>
        <c:noMultiLvlLbl val="0"/>
      </c:catAx>
      <c:valAx>
        <c:axId val="1139526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2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 (Alex the analyst).xlsx]Pivot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a:p>
            <a:pPr>
              <a:defRPr/>
            </a:pPr>
            <a:endParaRPr lang="en-US"/>
          </a:p>
        </c:rich>
      </c:tx>
      <c:layout>
        <c:manualLayout>
          <c:xMode val="edge"/>
          <c:yMode val="edge"/>
          <c:x val="0.39248868037112"/>
          <c:y val="4.10529158789188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81972832890684E-2"/>
          <c:y val="0.16242494754118797"/>
          <c:w val="0.65073065718196821"/>
          <c:h val="0.52426194087216671"/>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479A-43F6-81DE-ADF747D66B2D}"/>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2-79D3-4021-A102-D4402AF888D5}"/>
            </c:ext>
          </c:extLst>
        </c:ser>
        <c:dLbls>
          <c:showLegendKey val="0"/>
          <c:showVal val="0"/>
          <c:showCatName val="0"/>
          <c:showSerName val="0"/>
          <c:showPercent val="0"/>
          <c:showBubbleSize val="0"/>
        </c:dLbls>
        <c:smooth val="0"/>
        <c:axId val="1139559551"/>
        <c:axId val="1139560991"/>
      </c:lineChart>
      <c:catAx>
        <c:axId val="1139559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60991"/>
        <c:crosses val="autoZero"/>
        <c:auto val="1"/>
        <c:lblAlgn val="ctr"/>
        <c:lblOffset val="100"/>
        <c:noMultiLvlLbl val="0"/>
      </c:catAx>
      <c:valAx>
        <c:axId val="113956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5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 (Alex the analyst).xlsx]Pivot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none"/>
          </c:marker>
          <c:cat>
            <c:strRef>
              <c:f>'Pivot table'!$A$34:$A$37</c:f>
              <c:strCache>
                <c:ptCount val="3"/>
                <c:pt idx="0">
                  <c:v>Adolescent</c:v>
                </c:pt>
                <c:pt idx="1">
                  <c:v>Middle age</c:v>
                </c:pt>
                <c:pt idx="2">
                  <c:v>old</c:v>
                </c:pt>
              </c:strCache>
            </c:strRef>
          </c:cat>
          <c:val>
            <c:numRef>
              <c:f>'Pivot table'!$B$34:$B$37</c:f>
              <c:numCache>
                <c:formatCode>General</c:formatCode>
                <c:ptCount val="3"/>
                <c:pt idx="0">
                  <c:v>12</c:v>
                </c:pt>
                <c:pt idx="1">
                  <c:v>37</c:v>
                </c:pt>
                <c:pt idx="2">
                  <c:v>7</c:v>
                </c:pt>
              </c:numCache>
            </c:numRef>
          </c:val>
          <c:smooth val="0"/>
          <c:extLst>
            <c:ext xmlns:c16="http://schemas.microsoft.com/office/drawing/2014/chart" uri="{C3380CC4-5D6E-409C-BE32-E72D297353CC}">
              <c16:uniqueId val="{00000000-DFC8-44B8-8C34-65E56220151A}"/>
            </c:ext>
          </c:extLst>
        </c:ser>
        <c:ser>
          <c:idx val="1"/>
          <c:order val="1"/>
          <c:tx>
            <c:strRef>
              <c:f>'Pivot table'!$C$32:$C$33</c:f>
              <c:strCache>
                <c:ptCount val="1"/>
                <c:pt idx="0">
                  <c:v>Yes</c:v>
                </c:pt>
              </c:strCache>
            </c:strRef>
          </c:tx>
          <c:spPr>
            <a:ln w="28575" cap="rnd">
              <a:solidFill>
                <a:schemeClr val="accent2"/>
              </a:solidFill>
              <a:round/>
            </a:ln>
            <a:effectLst/>
          </c:spPr>
          <c:marker>
            <c:symbol val="none"/>
          </c:marker>
          <c:cat>
            <c:strRef>
              <c:f>'Pivot table'!$A$34:$A$37</c:f>
              <c:strCache>
                <c:ptCount val="3"/>
                <c:pt idx="0">
                  <c:v>Adolescent</c:v>
                </c:pt>
                <c:pt idx="1">
                  <c:v>Middle age</c:v>
                </c:pt>
                <c:pt idx="2">
                  <c:v>old</c:v>
                </c:pt>
              </c:strCache>
            </c:strRef>
          </c:cat>
          <c:val>
            <c:numRef>
              <c:f>'Pivot table'!$C$34:$C$37</c:f>
              <c:numCache>
                <c:formatCode>General</c:formatCode>
                <c:ptCount val="3"/>
                <c:pt idx="0">
                  <c:v>1</c:v>
                </c:pt>
                <c:pt idx="1">
                  <c:v>15</c:v>
                </c:pt>
                <c:pt idx="2">
                  <c:v>4</c:v>
                </c:pt>
              </c:numCache>
            </c:numRef>
          </c:val>
          <c:smooth val="0"/>
          <c:extLst>
            <c:ext xmlns:c16="http://schemas.microsoft.com/office/drawing/2014/chart" uri="{C3380CC4-5D6E-409C-BE32-E72D297353CC}">
              <c16:uniqueId val="{00000001-DFC8-44B8-8C34-65E56220151A}"/>
            </c:ext>
          </c:extLst>
        </c:ser>
        <c:dLbls>
          <c:showLegendKey val="0"/>
          <c:showVal val="0"/>
          <c:showCatName val="0"/>
          <c:showSerName val="0"/>
          <c:showPercent val="0"/>
          <c:showBubbleSize val="0"/>
        </c:dLbls>
        <c:smooth val="0"/>
        <c:axId val="1139577791"/>
        <c:axId val="1139582111"/>
      </c:lineChart>
      <c:catAx>
        <c:axId val="113957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82111"/>
        <c:crosses val="autoZero"/>
        <c:auto val="1"/>
        <c:lblAlgn val="ctr"/>
        <c:lblOffset val="100"/>
        <c:noMultiLvlLbl val="0"/>
      </c:catAx>
      <c:valAx>
        <c:axId val="113958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 (Alex the analyst).xlsx]Pivot table!PivotTable1</c:name>
    <c:fmtId val="7"/>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Average income per purchase</a:t>
            </a:r>
          </a:p>
          <a:p>
            <a:pPr>
              <a:defRPr/>
            </a:pPr>
            <a:endParaRPr lang="en-US"/>
          </a:p>
        </c:rich>
      </c:tx>
      <c:layout>
        <c:manualLayout>
          <c:xMode val="edge"/>
          <c:yMode val="edge"/>
          <c:x val="0.2785790485866686"/>
          <c:y val="2.354186378433857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59084115901943"/>
          <c:y val="0.10704038707490331"/>
          <c:w val="0.47146862087783581"/>
          <c:h val="0.56218536636408833"/>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28928.571428571428</c:v>
                </c:pt>
                <c:pt idx="1">
                  <c:v>32500</c:v>
                </c:pt>
              </c:numCache>
            </c:numRef>
          </c:val>
          <c:extLst>
            <c:ext xmlns:c16="http://schemas.microsoft.com/office/drawing/2014/chart" uri="{C3380CC4-5D6E-409C-BE32-E72D297353CC}">
              <c16:uniqueId val="{00000000-463D-43A4-B0B7-81A7A4A05B5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32000</c:v>
                </c:pt>
                <c:pt idx="1">
                  <c:v>58000</c:v>
                </c:pt>
              </c:numCache>
            </c:numRef>
          </c:val>
          <c:extLst>
            <c:ext xmlns:c16="http://schemas.microsoft.com/office/drawing/2014/chart" uri="{C3380CC4-5D6E-409C-BE32-E72D297353CC}">
              <c16:uniqueId val="{00000001-463D-43A4-B0B7-81A7A4A05B55}"/>
            </c:ext>
          </c:extLst>
        </c:ser>
        <c:dLbls>
          <c:showLegendKey val="0"/>
          <c:showVal val="0"/>
          <c:showCatName val="0"/>
          <c:showSerName val="0"/>
          <c:showPercent val="0"/>
          <c:showBubbleSize val="0"/>
        </c:dLbls>
        <c:gapWidth val="219"/>
        <c:overlap val="-27"/>
        <c:axId val="1139520671"/>
        <c:axId val="1139526431"/>
      </c:barChart>
      <c:catAx>
        <c:axId val="1139520671"/>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39526431"/>
        <c:crosses val="autoZero"/>
        <c:auto val="1"/>
        <c:lblAlgn val="ctr"/>
        <c:lblOffset val="100"/>
        <c:noMultiLvlLbl val="0"/>
      </c:catAx>
      <c:valAx>
        <c:axId val="1139526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3952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949666628527458"/>
          <c:y val="0.48725039370078738"/>
          <c:w val="0.21385972394137653"/>
          <c:h val="0.2413988188976377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 (Alex the analyst).xlsx]Pivot table!PivotTable3</c:name>
    <c:fmtId val="3"/>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Customers Age Brackets</a:t>
            </a:r>
          </a:p>
          <a:p>
            <a:pPr>
              <a:defRPr/>
            </a:pPr>
            <a:endParaRPr lang="en-US"/>
          </a:p>
        </c:rich>
      </c:tx>
      <c:layout>
        <c:manualLayout>
          <c:xMode val="edge"/>
          <c:yMode val="edge"/>
          <c:x val="0.2725545171339564"/>
          <c:y val="0.12008756752939515"/>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none"/>
          </c:marker>
          <c:cat>
            <c:strRef>
              <c:f>'Pivot table'!$A$34:$A$37</c:f>
              <c:strCache>
                <c:ptCount val="3"/>
                <c:pt idx="0">
                  <c:v>Adolescent</c:v>
                </c:pt>
                <c:pt idx="1">
                  <c:v>Middle age</c:v>
                </c:pt>
                <c:pt idx="2">
                  <c:v>old</c:v>
                </c:pt>
              </c:strCache>
            </c:strRef>
          </c:cat>
          <c:val>
            <c:numRef>
              <c:f>'Pivot table'!$B$34:$B$37</c:f>
              <c:numCache>
                <c:formatCode>General</c:formatCode>
                <c:ptCount val="3"/>
                <c:pt idx="0">
                  <c:v>12</c:v>
                </c:pt>
                <c:pt idx="1">
                  <c:v>37</c:v>
                </c:pt>
                <c:pt idx="2">
                  <c:v>7</c:v>
                </c:pt>
              </c:numCache>
            </c:numRef>
          </c:val>
          <c:smooth val="0"/>
          <c:extLst>
            <c:ext xmlns:c16="http://schemas.microsoft.com/office/drawing/2014/chart" uri="{C3380CC4-5D6E-409C-BE32-E72D297353CC}">
              <c16:uniqueId val="{00000000-F8FE-409A-B5AF-9B2986812D5A}"/>
            </c:ext>
          </c:extLst>
        </c:ser>
        <c:ser>
          <c:idx val="1"/>
          <c:order val="1"/>
          <c:tx>
            <c:strRef>
              <c:f>'Pivot table'!$C$32:$C$33</c:f>
              <c:strCache>
                <c:ptCount val="1"/>
                <c:pt idx="0">
                  <c:v>Yes</c:v>
                </c:pt>
              </c:strCache>
            </c:strRef>
          </c:tx>
          <c:spPr>
            <a:ln w="28575" cap="rnd">
              <a:solidFill>
                <a:schemeClr val="accent2"/>
              </a:solidFill>
              <a:round/>
            </a:ln>
            <a:effectLst/>
          </c:spPr>
          <c:marker>
            <c:symbol val="none"/>
          </c:marker>
          <c:cat>
            <c:strRef>
              <c:f>'Pivot table'!$A$34:$A$37</c:f>
              <c:strCache>
                <c:ptCount val="3"/>
                <c:pt idx="0">
                  <c:v>Adolescent</c:v>
                </c:pt>
                <c:pt idx="1">
                  <c:v>Middle age</c:v>
                </c:pt>
                <c:pt idx="2">
                  <c:v>old</c:v>
                </c:pt>
              </c:strCache>
            </c:strRef>
          </c:cat>
          <c:val>
            <c:numRef>
              <c:f>'Pivot table'!$C$34:$C$37</c:f>
              <c:numCache>
                <c:formatCode>General</c:formatCode>
                <c:ptCount val="3"/>
                <c:pt idx="0">
                  <c:v>1</c:v>
                </c:pt>
                <c:pt idx="1">
                  <c:v>15</c:v>
                </c:pt>
                <c:pt idx="2">
                  <c:v>4</c:v>
                </c:pt>
              </c:numCache>
            </c:numRef>
          </c:val>
          <c:smooth val="0"/>
          <c:extLst>
            <c:ext xmlns:c16="http://schemas.microsoft.com/office/drawing/2014/chart" uri="{C3380CC4-5D6E-409C-BE32-E72D297353CC}">
              <c16:uniqueId val="{00000001-F8FE-409A-B5AF-9B2986812D5A}"/>
            </c:ext>
          </c:extLst>
        </c:ser>
        <c:dLbls>
          <c:showLegendKey val="0"/>
          <c:showVal val="0"/>
          <c:showCatName val="0"/>
          <c:showSerName val="0"/>
          <c:showPercent val="0"/>
          <c:showBubbleSize val="0"/>
        </c:dLbls>
        <c:smooth val="0"/>
        <c:axId val="1139577791"/>
        <c:axId val="1139582111"/>
      </c:lineChart>
      <c:catAx>
        <c:axId val="1139577791"/>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39582111"/>
        <c:crosses val="autoZero"/>
        <c:auto val="1"/>
        <c:lblAlgn val="ctr"/>
        <c:lblOffset val="100"/>
        <c:noMultiLvlLbl val="0"/>
      </c:catAx>
      <c:valAx>
        <c:axId val="113958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395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Dashboard (Alex the analyst).xlsx]Pivot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a:p>
            <a:pPr>
              <a:defRPr/>
            </a:pPr>
            <a:endParaRPr lang="en-US"/>
          </a:p>
        </c:rich>
      </c:tx>
      <c:layout>
        <c:manualLayout>
          <c:xMode val="edge"/>
          <c:yMode val="edge"/>
          <c:x val="0.39248868037112"/>
          <c:y val="4.10529158789188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81972832890684E-2"/>
          <c:y val="0.16242494754118797"/>
          <c:w val="0.65073065718196821"/>
          <c:h val="0.52426194087216671"/>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9EED-466A-96D7-B7A4D881458B}"/>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1-0DCB-47C0-8ECD-5489135F51D1}"/>
            </c:ext>
          </c:extLst>
        </c:ser>
        <c:dLbls>
          <c:showLegendKey val="0"/>
          <c:showVal val="0"/>
          <c:showCatName val="0"/>
          <c:showSerName val="0"/>
          <c:showPercent val="0"/>
          <c:showBubbleSize val="0"/>
        </c:dLbls>
        <c:smooth val="0"/>
        <c:axId val="1139559551"/>
        <c:axId val="1139560991"/>
      </c:lineChart>
      <c:catAx>
        <c:axId val="1139559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60991"/>
        <c:crosses val="autoZero"/>
        <c:auto val="1"/>
        <c:lblAlgn val="ctr"/>
        <c:lblOffset val="100"/>
        <c:noMultiLvlLbl val="0"/>
      </c:catAx>
      <c:valAx>
        <c:axId val="113956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55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590550</xdr:colOff>
      <xdr:row>1</xdr:row>
      <xdr:rowOff>6350</xdr:rowOff>
    </xdr:from>
    <xdr:to>
      <xdr:col>12</xdr:col>
      <xdr:colOff>241300</xdr:colOff>
      <xdr:row>14</xdr:row>
      <xdr:rowOff>38100</xdr:rowOff>
    </xdr:to>
    <xdr:graphicFrame macro="">
      <xdr:nvGraphicFramePr>
        <xdr:cNvPr id="3" name="Chart 2">
          <a:extLst>
            <a:ext uri="{FF2B5EF4-FFF2-40B4-BE49-F238E27FC236}">
              <a16:creationId xmlns:a16="http://schemas.microsoft.com/office/drawing/2014/main" id="{77F32C27-B45A-F330-FDE7-7DCF6C428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15</xdr:row>
      <xdr:rowOff>133350</xdr:rowOff>
    </xdr:from>
    <xdr:to>
      <xdr:col>11</xdr:col>
      <xdr:colOff>349250</xdr:colOff>
      <xdr:row>28</xdr:row>
      <xdr:rowOff>146050</xdr:rowOff>
    </xdr:to>
    <xdr:graphicFrame macro="">
      <xdr:nvGraphicFramePr>
        <xdr:cNvPr id="4" name="Chart 3">
          <a:extLst>
            <a:ext uri="{FF2B5EF4-FFF2-40B4-BE49-F238E27FC236}">
              <a16:creationId xmlns:a16="http://schemas.microsoft.com/office/drawing/2014/main" id="{9AA4629C-D716-1A5E-C3F4-E2178CDCD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30</xdr:row>
      <xdr:rowOff>69850</xdr:rowOff>
    </xdr:from>
    <xdr:to>
      <xdr:col>11</xdr:col>
      <xdr:colOff>152400</xdr:colOff>
      <xdr:row>45</xdr:row>
      <xdr:rowOff>139700</xdr:rowOff>
    </xdr:to>
    <xdr:graphicFrame macro="">
      <xdr:nvGraphicFramePr>
        <xdr:cNvPr id="5" name="Chart 4">
          <a:extLst>
            <a:ext uri="{FF2B5EF4-FFF2-40B4-BE49-F238E27FC236}">
              <a16:creationId xmlns:a16="http://schemas.microsoft.com/office/drawing/2014/main" id="{5F995CEE-0F48-183B-1929-3C2A885A0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469900</xdr:colOff>
      <xdr:row>15</xdr:row>
      <xdr:rowOff>12700</xdr:rowOff>
    </xdr:from>
    <xdr:to>
      <xdr:col>14</xdr:col>
      <xdr:colOff>469900</xdr:colOff>
      <xdr:row>28</xdr:row>
      <xdr:rowOff>142875</xdr:rowOff>
    </xdr:to>
    <mc:AlternateContent xmlns:mc="http://schemas.openxmlformats.org/markup-compatibility/2006">
      <mc:Choice xmlns:a14="http://schemas.microsoft.com/office/drawing/2010/main" Requires="a14">
        <xdr:graphicFrame macro="">
          <xdr:nvGraphicFramePr>
            <xdr:cNvPr id="2" name="Commute Distance">
              <a:extLst>
                <a:ext uri="{FF2B5EF4-FFF2-40B4-BE49-F238E27FC236}">
                  <a16:creationId xmlns:a16="http://schemas.microsoft.com/office/drawing/2014/main" id="{4BCDD8CE-455B-81AA-3216-A7136584A8E7}"/>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8312150" y="2774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10</xdr:row>
      <xdr:rowOff>177800</xdr:rowOff>
    </xdr:from>
    <xdr:to>
      <xdr:col>6</xdr:col>
      <xdr:colOff>57150</xdr:colOff>
      <xdr:row>23</xdr:row>
      <xdr:rowOff>69850</xdr:rowOff>
    </xdr:to>
    <xdr:graphicFrame macro="">
      <xdr:nvGraphicFramePr>
        <xdr:cNvPr id="5" name="Chart 4">
          <a:extLst>
            <a:ext uri="{FF2B5EF4-FFF2-40B4-BE49-F238E27FC236}">
              <a16:creationId xmlns:a16="http://schemas.microsoft.com/office/drawing/2014/main" id="{20C82B7D-AE20-41FD-9A69-4585383DA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xdr:colOff>
      <xdr:row>11</xdr:row>
      <xdr:rowOff>0</xdr:rowOff>
    </xdr:from>
    <xdr:to>
      <xdr:col>10</xdr:col>
      <xdr:colOff>273050</xdr:colOff>
      <xdr:row>23</xdr:row>
      <xdr:rowOff>101600</xdr:rowOff>
    </xdr:to>
    <xdr:graphicFrame macro="">
      <xdr:nvGraphicFramePr>
        <xdr:cNvPr id="6" name="Chart 5">
          <a:extLst>
            <a:ext uri="{FF2B5EF4-FFF2-40B4-BE49-F238E27FC236}">
              <a16:creationId xmlns:a16="http://schemas.microsoft.com/office/drawing/2014/main" id="{AA72D9B3-642F-4EE8-896B-15A868DA7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xdr:colOff>
      <xdr:row>23</xdr:row>
      <xdr:rowOff>133350</xdr:rowOff>
    </xdr:from>
    <xdr:to>
      <xdr:col>10</xdr:col>
      <xdr:colOff>254000</xdr:colOff>
      <xdr:row>33</xdr:row>
      <xdr:rowOff>133350</xdr:rowOff>
    </xdr:to>
    <xdr:graphicFrame macro="">
      <xdr:nvGraphicFramePr>
        <xdr:cNvPr id="7" name="Chart 6">
          <a:extLst>
            <a:ext uri="{FF2B5EF4-FFF2-40B4-BE49-F238E27FC236}">
              <a16:creationId xmlns:a16="http://schemas.microsoft.com/office/drawing/2014/main" id="{C2CF5E46-B938-431F-96D2-AE0EC404C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374650</xdr:colOff>
      <xdr:row>10</xdr:row>
      <xdr:rowOff>171450</xdr:rowOff>
    </xdr:from>
    <xdr:to>
      <xdr:col>13</xdr:col>
      <xdr:colOff>374650</xdr:colOff>
      <xdr:row>16</xdr:row>
      <xdr:rowOff>25399</xdr:rowOff>
    </xdr:to>
    <mc:AlternateContent xmlns:mc="http://schemas.openxmlformats.org/markup-compatibility/2006" xmlns:a14="http://schemas.microsoft.com/office/drawing/2010/main">
      <mc:Choice Requires="a14">
        <xdr:graphicFrame macro="">
          <xdr:nvGraphicFramePr>
            <xdr:cNvPr id="8" name="Marriedarital Status">
              <a:extLst>
                <a:ext uri="{FF2B5EF4-FFF2-40B4-BE49-F238E27FC236}">
                  <a16:creationId xmlns:a16="http://schemas.microsoft.com/office/drawing/2014/main" id="{A82C2E2E-B784-CEFF-04B7-3816E6160AE7}"/>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mlns="">
        <xdr:sp macro="" textlink="">
          <xdr:nvSpPr>
            <xdr:cNvPr id="0" name=""/>
            <xdr:cNvSpPr>
              <a:spLocks noTextEdit="1"/>
            </xdr:cNvSpPr>
          </xdr:nvSpPr>
          <xdr:spPr>
            <a:xfrm>
              <a:off x="6470650" y="2286000"/>
              <a:ext cx="1828800" cy="95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387350</xdr:colOff>
      <xdr:row>22</xdr:row>
      <xdr:rowOff>101600</xdr:rowOff>
    </xdr:from>
    <xdr:to>
      <xdr:col>13</xdr:col>
      <xdr:colOff>387350</xdr:colOff>
      <xdr:row>31</xdr:row>
      <xdr:rowOff>165099</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AAB41761-4767-BFB4-8B39-D7289EB3E19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483350" y="4425950"/>
              <a:ext cx="1828800" cy="1720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387350</xdr:colOff>
      <xdr:row>16</xdr:row>
      <xdr:rowOff>25401</xdr:rowOff>
    </xdr:from>
    <xdr:to>
      <xdr:col>13</xdr:col>
      <xdr:colOff>387350</xdr:colOff>
      <xdr:row>22</xdr:row>
      <xdr:rowOff>95251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19B384E-2051-67AB-D653-FA9F1A03E6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83350" y="3244851"/>
              <a:ext cx="1828800" cy="117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chandra" refreshedDate="46122.263171296298" createdVersion="8" refreshedVersion="8" minRefreshableVersion="3" recordCount="1000" xr:uid="{CC43121F-0856-4222-966C-A076ED2A65B2}">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45850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F0CF78-5D9A-4227-84EF-82B21BB0AD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D37"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F6ECE-D5F1-49FD-A094-1D8C16E597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BC2CEB-4382-4A61-A447-7ECBEC4ECE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B2E6B79C-3A7A-4459-8AFF-B945106AB4BE}" sourceName="Marriedarital Status">
  <pivotTables>
    <pivotTable tabId="3" name="PivotTable1"/>
    <pivotTable tabId="3" name="PivotTable2"/>
    <pivotTable tabId="3" name="PivotTable3"/>
  </pivotTables>
  <data>
    <tabular pivotCacheId="15458508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165E17-9AC1-4F0E-91D5-0F974517F507}" sourceName="Education">
  <pivotTables>
    <pivotTable tabId="3" name="PivotTable3"/>
    <pivotTable tabId="3" name="PivotTable1"/>
    <pivotTable tabId="3" name="PivotTable2"/>
  </pivotTables>
  <data>
    <tabular pivotCacheId="1545850850">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D410BE-5B4F-48A0-BED2-C2D88F9C4109}" sourceName="Region">
  <pivotTables>
    <pivotTable tabId="3" name="PivotTable3"/>
    <pivotTable tabId="3" name="PivotTable1"/>
    <pivotTable tabId="3" name="PivotTable2"/>
  </pivotTables>
  <data>
    <tabular pivotCacheId="154585085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82A1C68F-1E71-4220-992B-F0DB38364AB2}" sourceName="Commute Distance">
  <pivotTables>
    <pivotTable tabId="3" name="PivotTable2"/>
  </pivotTables>
  <data>
    <tabular pivotCacheId="1545850850">
      <items count="6">
        <i x="0" s="1"/>
        <i x="3" s="1"/>
        <i x="1"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ute Distance" xr10:uid="{85C83147-6FB5-43A1-ADAB-A19ACC5BA47B}" cache="Slicer_Commute_Distance" caption="Commute Distan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25CBB524-A8CC-4009-90D0-76F1F106519D}" cache="Slicer_Marriedarital_Status" caption="Marriedarital Status" rowHeight="241300"/>
  <slicer name="Education" xr10:uid="{9866A812-85A1-458C-B593-BA548ED5CF01}" cache="Slicer_Education" caption="Education" rowHeight="241300"/>
  <slicer name="Region" xr10:uid="{457AF540-F2B9-41BC-8442-9AAF3C4F9A26}"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8" sqref="N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44A1-BCE7-4837-9D81-E68F1A536603}">
  <dimension ref="A1:N1001"/>
  <sheetViews>
    <sheetView topLeftCell="A7" workbookViewId="0">
      <selection activeCell="J23" sqref="J23"/>
    </sheetView>
  </sheetViews>
  <sheetFormatPr defaultRowHeight="14.5" x14ac:dyDescent="0.35"/>
  <cols>
    <col min="2" max="2" width="19.81640625" bestFit="1" customWidth="1"/>
    <col min="3" max="3" width="9.36328125" bestFit="1" customWidth="1"/>
    <col min="4" max="4" width="13.26953125" style="3" customWidth="1"/>
    <col min="10" max="10" width="18.90625" bestFit="1" customWidth="1"/>
    <col min="13" max="13" width="12.81640625" bestFit="1" customWidth="1"/>
    <col min="14" max="14" width="15.7265625" bestFit="1" customWidth="1"/>
  </cols>
  <sheetData>
    <row r="1" spans="1:14" x14ac:dyDescent="0.35">
      <c r="A1" t="s">
        <v>0</v>
      </c>
      <c r="B1" t="s">
        <v>36</v>
      </c>
      <c r="C1" t="s">
        <v>2</v>
      </c>
      <c r="D1" s="3" t="s">
        <v>3</v>
      </c>
      <c r="E1" t="s">
        <v>4</v>
      </c>
      <c r="F1" t="s">
        <v>5</v>
      </c>
      <c r="G1" t="s">
        <v>6</v>
      </c>
      <c r="H1" t="s">
        <v>7</v>
      </c>
      <c r="I1" t="s">
        <v>8</v>
      </c>
      <c r="J1" t="s">
        <v>9</v>
      </c>
      <c r="K1" t="s">
        <v>10</v>
      </c>
      <c r="L1" t="s">
        <v>11</v>
      </c>
      <c r="M1" t="s">
        <v>41</v>
      </c>
      <c r="N1" t="s">
        <v>12</v>
      </c>
    </row>
    <row r="2" spans="1:14" x14ac:dyDescent="0.35">
      <c r="A2">
        <v>12496</v>
      </c>
      <c r="B2" t="s">
        <v>37</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5">
      <c r="A3">
        <v>24107</v>
      </c>
      <c r="B3" t="s">
        <v>37</v>
      </c>
      <c r="C3" t="s">
        <v>40</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5">
      <c r="A4">
        <v>14177</v>
      </c>
      <c r="B4" t="s">
        <v>37</v>
      </c>
      <c r="C4" t="s">
        <v>40</v>
      </c>
      <c r="D4" s="3">
        <v>80000</v>
      </c>
      <c r="E4">
        <v>5</v>
      </c>
      <c r="F4" t="s">
        <v>19</v>
      </c>
      <c r="G4" t="s">
        <v>21</v>
      </c>
      <c r="H4" t="s">
        <v>18</v>
      </c>
      <c r="I4">
        <v>2</v>
      </c>
      <c r="J4" t="s">
        <v>22</v>
      </c>
      <c r="K4" t="s">
        <v>17</v>
      </c>
      <c r="L4">
        <v>60</v>
      </c>
      <c r="M4" t="str">
        <f t="shared" si="0"/>
        <v>old</v>
      </c>
      <c r="N4" t="s">
        <v>18</v>
      </c>
    </row>
    <row r="5" spans="1:14" x14ac:dyDescent="0.35">
      <c r="A5">
        <v>24381</v>
      </c>
      <c r="B5" t="s">
        <v>38</v>
      </c>
      <c r="C5" t="s">
        <v>40</v>
      </c>
      <c r="D5" s="3">
        <v>70000</v>
      </c>
      <c r="E5">
        <v>0</v>
      </c>
      <c r="F5" t="s">
        <v>13</v>
      </c>
      <c r="G5" t="s">
        <v>21</v>
      </c>
      <c r="H5" t="s">
        <v>15</v>
      </c>
      <c r="I5">
        <v>1</v>
      </c>
      <c r="J5" t="s">
        <v>23</v>
      </c>
      <c r="K5" t="s">
        <v>24</v>
      </c>
      <c r="L5">
        <v>41</v>
      </c>
      <c r="M5" t="str">
        <f t="shared" si="0"/>
        <v>Middle age</v>
      </c>
      <c r="N5" t="s">
        <v>15</v>
      </c>
    </row>
    <row r="6" spans="1:14" x14ac:dyDescent="0.35">
      <c r="A6">
        <v>25597</v>
      </c>
      <c r="B6" t="s">
        <v>38</v>
      </c>
      <c r="C6" t="s">
        <v>40</v>
      </c>
      <c r="D6" s="3">
        <v>30000</v>
      </c>
      <c r="E6">
        <v>0</v>
      </c>
      <c r="F6" t="s">
        <v>13</v>
      </c>
      <c r="G6" t="s">
        <v>20</v>
      </c>
      <c r="H6" t="s">
        <v>18</v>
      </c>
      <c r="I6">
        <v>0</v>
      </c>
      <c r="J6" t="s">
        <v>16</v>
      </c>
      <c r="K6" t="s">
        <v>17</v>
      </c>
      <c r="L6">
        <v>36</v>
      </c>
      <c r="M6" t="str">
        <f t="shared" si="0"/>
        <v>Middle age</v>
      </c>
      <c r="N6" t="s">
        <v>15</v>
      </c>
    </row>
    <row r="7" spans="1:14" x14ac:dyDescent="0.35">
      <c r="A7">
        <v>13507</v>
      </c>
      <c r="B7" t="s">
        <v>37</v>
      </c>
      <c r="C7" t="s">
        <v>39</v>
      </c>
      <c r="D7" s="3">
        <v>10000</v>
      </c>
      <c r="E7">
        <v>2</v>
      </c>
      <c r="F7" t="s">
        <v>19</v>
      </c>
      <c r="G7" t="s">
        <v>25</v>
      </c>
      <c r="H7" t="s">
        <v>15</v>
      </c>
      <c r="I7">
        <v>0</v>
      </c>
      <c r="J7" t="s">
        <v>26</v>
      </c>
      <c r="K7" t="s">
        <v>17</v>
      </c>
      <c r="L7">
        <v>50</v>
      </c>
      <c r="M7" t="str">
        <f t="shared" si="0"/>
        <v>Middle age</v>
      </c>
      <c r="N7" t="s">
        <v>18</v>
      </c>
    </row>
    <row r="8" spans="1:14" x14ac:dyDescent="0.35">
      <c r="A8">
        <v>27974</v>
      </c>
      <c r="B8" t="s">
        <v>38</v>
      </c>
      <c r="C8" t="s">
        <v>40</v>
      </c>
      <c r="D8" s="3">
        <v>160000</v>
      </c>
      <c r="E8">
        <v>2</v>
      </c>
      <c r="F8" t="s">
        <v>27</v>
      </c>
      <c r="G8" t="s">
        <v>28</v>
      </c>
      <c r="H8" t="s">
        <v>15</v>
      </c>
      <c r="I8">
        <v>4</v>
      </c>
      <c r="J8" t="s">
        <v>16</v>
      </c>
      <c r="K8" t="s">
        <v>24</v>
      </c>
      <c r="L8">
        <v>33</v>
      </c>
      <c r="M8" t="str">
        <f t="shared" si="0"/>
        <v>Middle age</v>
      </c>
      <c r="N8" t="s">
        <v>15</v>
      </c>
    </row>
    <row r="9" spans="1:14" x14ac:dyDescent="0.35">
      <c r="A9">
        <v>19364</v>
      </c>
      <c r="B9" t="s">
        <v>37</v>
      </c>
      <c r="C9" t="s">
        <v>40</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40</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40</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38</v>
      </c>
      <c r="C13" t="s">
        <v>39</v>
      </c>
      <c r="D13" s="3">
        <v>90000</v>
      </c>
      <c r="E13">
        <v>0</v>
      </c>
      <c r="F13" t="s">
        <v>13</v>
      </c>
      <c r="G13" t="s">
        <v>21</v>
      </c>
      <c r="H13" t="s">
        <v>18</v>
      </c>
      <c r="I13">
        <v>4</v>
      </c>
      <c r="J13" t="s">
        <v>47</v>
      </c>
      <c r="K13" t="s">
        <v>24</v>
      </c>
      <c r="L13">
        <v>36</v>
      </c>
      <c r="M13" t="str">
        <f t="shared" si="0"/>
        <v>Middle age</v>
      </c>
      <c r="N13" t="s">
        <v>18</v>
      </c>
    </row>
    <row r="14" spans="1:14" x14ac:dyDescent="0.35">
      <c r="A14">
        <v>11434</v>
      </c>
      <c r="B14" t="s">
        <v>37</v>
      </c>
      <c r="C14" t="s">
        <v>40</v>
      </c>
      <c r="D14" s="3">
        <v>170000</v>
      </c>
      <c r="E14">
        <v>5</v>
      </c>
      <c r="F14" t="s">
        <v>19</v>
      </c>
      <c r="G14" t="s">
        <v>21</v>
      </c>
      <c r="H14" t="s">
        <v>15</v>
      </c>
      <c r="I14">
        <v>0</v>
      </c>
      <c r="J14" t="s">
        <v>16</v>
      </c>
      <c r="K14" t="s">
        <v>17</v>
      </c>
      <c r="L14">
        <v>55</v>
      </c>
      <c r="M14" t="str">
        <f t="shared" si="0"/>
        <v>old</v>
      </c>
      <c r="N14" t="s">
        <v>18</v>
      </c>
    </row>
    <row r="15" spans="1:14" x14ac:dyDescent="0.35">
      <c r="A15">
        <v>25323</v>
      </c>
      <c r="B15" t="s">
        <v>37</v>
      </c>
      <c r="C15" t="s">
        <v>40</v>
      </c>
      <c r="D15" s="3">
        <v>40000</v>
      </c>
      <c r="E15">
        <v>2</v>
      </c>
      <c r="F15" t="s">
        <v>19</v>
      </c>
      <c r="G15" t="s">
        <v>20</v>
      </c>
      <c r="H15" t="s">
        <v>15</v>
      </c>
      <c r="I15">
        <v>1</v>
      </c>
      <c r="J15" t="s">
        <v>26</v>
      </c>
      <c r="K15" t="s">
        <v>17</v>
      </c>
      <c r="L15">
        <v>35</v>
      </c>
      <c r="M15" t="str">
        <f t="shared" si="0"/>
        <v>Middle age</v>
      </c>
      <c r="N15" t="s">
        <v>15</v>
      </c>
    </row>
    <row r="16" spans="1:14" x14ac:dyDescent="0.35">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35">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35">
      <c r="A21">
        <v>25940</v>
      </c>
      <c r="B21" t="s">
        <v>38</v>
      </c>
      <c r="C21" t="s">
        <v>40</v>
      </c>
      <c r="D21" s="3">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38</v>
      </c>
      <c r="C23" t="s">
        <v>39</v>
      </c>
      <c r="D23" s="3">
        <v>80000</v>
      </c>
      <c r="E23">
        <v>0</v>
      </c>
      <c r="F23" t="s">
        <v>13</v>
      </c>
      <c r="G23" t="s">
        <v>21</v>
      </c>
      <c r="H23" t="s">
        <v>15</v>
      </c>
      <c r="I23">
        <v>4</v>
      </c>
      <c r="J23" t="s">
        <v>47</v>
      </c>
      <c r="K23" t="s">
        <v>24</v>
      </c>
      <c r="L23">
        <v>35</v>
      </c>
      <c r="M23" t="str">
        <f t="shared" si="0"/>
        <v>Middle age</v>
      </c>
      <c r="N23" t="s">
        <v>18</v>
      </c>
    </row>
    <row r="24" spans="1:14" x14ac:dyDescent="0.35">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35">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35">
      <c r="A28">
        <v>17841</v>
      </c>
      <c r="B28" t="s">
        <v>38</v>
      </c>
      <c r="C28" t="s">
        <v>40</v>
      </c>
      <c r="D28" s="3">
        <v>30000</v>
      </c>
      <c r="E28">
        <v>0</v>
      </c>
      <c r="F28" t="s">
        <v>19</v>
      </c>
      <c r="G28" t="s">
        <v>20</v>
      </c>
      <c r="H28" t="s">
        <v>18</v>
      </c>
      <c r="I28">
        <v>1</v>
      </c>
      <c r="J28" t="s">
        <v>16</v>
      </c>
      <c r="K28" t="s">
        <v>17</v>
      </c>
      <c r="L28">
        <v>29</v>
      </c>
      <c r="M28" t="str">
        <f t="shared" si="0"/>
        <v>Adolescent</v>
      </c>
      <c r="N28" t="s">
        <v>15</v>
      </c>
    </row>
    <row r="29" spans="1:14" x14ac:dyDescent="0.35">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40</v>
      </c>
      <c r="D30" s="3">
        <v>70000</v>
      </c>
      <c r="E30">
        <v>5</v>
      </c>
      <c r="F30" t="s">
        <v>19</v>
      </c>
      <c r="G30" t="s">
        <v>14</v>
      </c>
      <c r="H30" t="s">
        <v>15</v>
      </c>
      <c r="I30">
        <v>2</v>
      </c>
      <c r="J30" t="s">
        <v>23</v>
      </c>
      <c r="K30" t="s">
        <v>24</v>
      </c>
      <c r="L30">
        <v>44</v>
      </c>
      <c r="M30" t="str">
        <f t="shared" si="0"/>
        <v>Middle age</v>
      </c>
      <c r="N30" t="s">
        <v>18</v>
      </c>
    </row>
    <row r="31" spans="1:14" x14ac:dyDescent="0.35">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40</v>
      </c>
      <c r="D33" s="3">
        <v>10000</v>
      </c>
      <c r="E33">
        <v>0</v>
      </c>
      <c r="F33" t="s">
        <v>19</v>
      </c>
      <c r="G33" t="s">
        <v>25</v>
      </c>
      <c r="H33" t="s">
        <v>18</v>
      </c>
      <c r="I33">
        <v>1</v>
      </c>
      <c r="J33" t="s">
        <v>16</v>
      </c>
      <c r="K33" t="s">
        <v>24</v>
      </c>
      <c r="L33">
        <v>26</v>
      </c>
      <c r="M33" t="str">
        <f t="shared" si="0"/>
        <v>Adolescent</v>
      </c>
      <c r="N33" t="s">
        <v>15</v>
      </c>
    </row>
    <row r="34" spans="1:14" x14ac:dyDescent="0.35">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35">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38</v>
      </c>
      <c r="C40" t="s">
        <v>40</v>
      </c>
      <c r="D40" s="3">
        <v>20000</v>
      </c>
      <c r="E40">
        <v>0</v>
      </c>
      <c r="F40" t="s">
        <v>27</v>
      </c>
      <c r="G40" t="s">
        <v>25</v>
      </c>
      <c r="H40" t="s">
        <v>18</v>
      </c>
      <c r="I40">
        <v>1</v>
      </c>
      <c r="J40" t="s">
        <v>22</v>
      </c>
      <c r="K40" t="s">
        <v>17</v>
      </c>
      <c r="L40">
        <v>28</v>
      </c>
      <c r="M40" t="str">
        <f t="shared" si="0"/>
        <v>Adolescent</v>
      </c>
      <c r="N40" t="s">
        <v>18</v>
      </c>
    </row>
    <row r="41" spans="1:14" x14ac:dyDescent="0.35">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40</v>
      </c>
      <c r="D50" s="3">
        <v>30000</v>
      </c>
      <c r="E50">
        <v>2</v>
      </c>
      <c r="F50" t="s">
        <v>19</v>
      </c>
      <c r="G50" t="s">
        <v>20</v>
      </c>
      <c r="H50" t="s">
        <v>18</v>
      </c>
      <c r="I50">
        <v>2</v>
      </c>
      <c r="J50" t="s">
        <v>16</v>
      </c>
      <c r="K50" t="s">
        <v>17</v>
      </c>
      <c r="L50">
        <v>42</v>
      </c>
      <c r="M50" t="str">
        <f t="shared" si="0"/>
        <v>Middle age</v>
      </c>
      <c r="N50" t="s">
        <v>18</v>
      </c>
    </row>
    <row r="51" spans="1:14" x14ac:dyDescent="0.35">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3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38</v>
      </c>
      <c r="C53" t="s">
        <v>40</v>
      </c>
      <c r="D53" s="3">
        <v>80000</v>
      </c>
      <c r="E53">
        <v>0</v>
      </c>
      <c r="F53" t="s">
        <v>13</v>
      </c>
      <c r="G53" t="s">
        <v>21</v>
      </c>
      <c r="H53" t="s">
        <v>18</v>
      </c>
      <c r="I53">
        <v>4</v>
      </c>
      <c r="J53" t="s">
        <v>47</v>
      </c>
      <c r="K53" t="s">
        <v>24</v>
      </c>
      <c r="L53">
        <v>35</v>
      </c>
      <c r="M53" t="str">
        <f t="shared" si="0"/>
        <v>Middle age</v>
      </c>
      <c r="N53" t="s">
        <v>18</v>
      </c>
    </row>
    <row r="54" spans="1:14" x14ac:dyDescent="0.3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40</v>
      </c>
      <c r="D57" s="3">
        <v>80000</v>
      </c>
      <c r="E57">
        <v>4</v>
      </c>
      <c r="F57" t="s">
        <v>27</v>
      </c>
      <c r="G57" t="s">
        <v>21</v>
      </c>
      <c r="H57" t="s">
        <v>15</v>
      </c>
      <c r="I57">
        <v>2</v>
      </c>
      <c r="J57" t="s">
        <v>47</v>
      </c>
      <c r="K57" t="s">
        <v>17</v>
      </c>
      <c r="L57">
        <v>54</v>
      </c>
      <c r="M57" t="str">
        <f t="shared" si="0"/>
        <v>Middle age</v>
      </c>
      <c r="N57" t="s">
        <v>18</v>
      </c>
    </row>
    <row r="58" spans="1:14" x14ac:dyDescent="0.35">
      <c r="A58">
        <v>12808</v>
      </c>
      <c r="B58" t="s">
        <v>37</v>
      </c>
      <c r="C58" t="s">
        <v>40</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40</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40</v>
      </c>
      <c r="D61" s="3">
        <v>60000</v>
      </c>
      <c r="E61">
        <v>2</v>
      </c>
      <c r="F61" t="s">
        <v>13</v>
      </c>
      <c r="G61" t="s">
        <v>21</v>
      </c>
      <c r="H61" t="s">
        <v>15</v>
      </c>
      <c r="I61">
        <v>1</v>
      </c>
      <c r="J61" t="s">
        <v>22</v>
      </c>
      <c r="K61" t="s">
        <v>24</v>
      </c>
      <c r="L61">
        <v>38</v>
      </c>
      <c r="M61" t="str">
        <f t="shared" si="0"/>
        <v>Middle age</v>
      </c>
      <c r="N61" t="s">
        <v>15</v>
      </c>
    </row>
    <row r="62" spans="1:14" x14ac:dyDescent="0.35">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40</v>
      </c>
      <c r="D64" s="3">
        <v>40000</v>
      </c>
      <c r="E64">
        <v>2</v>
      </c>
      <c r="F64" t="s">
        <v>13</v>
      </c>
      <c r="G64" t="s">
        <v>28</v>
      </c>
      <c r="H64" t="s">
        <v>15</v>
      </c>
      <c r="I64">
        <v>1</v>
      </c>
      <c r="J64" t="s">
        <v>16</v>
      </c>
      <c r="K64" t="s">
        <v>24</v>
      </c>
      <c r="L64">
        <v>52</v>
      </c>
      <c r="M64" t="str">
        <f t="shared" si="0"/>
        <v>Middle age</v>
      </c>
      <c r="N64" t="s">
        <v>15</v>
      </c>
    </row>
    <row r="65" spans="1:14" x14ac:dyDescent="0.35">
      <c r="A65">
        <v>16185</v>
      </c>
      <c r="B65" t="s">
        <v>38</v>
      </c>
      <c r="C65" t="s">
        <v>40</v>
      </c>
      <c r="D65" s="3">
        <v>60000</v>
      </c>
      <c r="E65">
        <v>4</v>
      </c>
      <c r="F65" t="s">
        <v>13</v>
      </c>
      <c r="G65" t="s">
        <v>21</v>
      </c>
      <c r="H65" t="s">
        <v>15</v>
      </c>
      <c r="I65">
        <v>3</v>
      </c>
      <c r="J65" t="s">
        <v>47</v>
      </c>
      <c r="K65" t="s">
        <v>24</v>
      </c>
      <c r="L65">
        <v>41</v>
      </c>
      <c r="M65" t="str">
        <f t="shared" si="0"/>
        <v>Middle age</v>
      </c>
      <c r="N65" t="s">
        <v>18</v>
      </c>
    </row>
    <row r="66" spans="1:14" x14ac:dyDescent="0.3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38</v>
      </c>
      <c r="C67" t="s">
        <v>40</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35">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40</v>
      </c>
      <c r="D72" s="3">
        <v>120000</v>
      </c>
      <c r="E72">
        <v>0</v>
      </c>
      <c r="F72" t="s">
        <v>29</v>
      </c>
      <c r="G72" t="s">
        <v>21</v>
      </c>
      <c r="H72" t="s">
        <v>15</v>
      </c>
      <c r="I72">
        <v>4</v>
      </c>
      <c r="J72" t="s">
        <v>47</v>
      </c>
      <c r="K72" t="s">
        <v>24</v>
      </c>
      <c r="L72">
        <v>36</v>
      </c>
      <c r="M72" t="str">
        <f t="shared" si="1"/>
        <v>Middle age</v>
      </c>
      <c r="N72" t="s">
        <v>15</v>
      </c>
    </row>
    <row r="73" spans="1:14" x14ac:dyDescent="0.35">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40</v>
      </c>
      <c r="D79" s="3">
        <v>80000</v>
      </c>
      <c r="E79">
        <v>0</v>
      </c>
      <c r="F79" t="s">
        <v>13</v>
      </c>
      <c r="G79" t="s">
        <v>21</v>
      </c>
      <c r="H79" t="s">
        <v>15</v>
      </c>
      <c r="I79">
        <v>2</v>
      </c>
      <c r="J79" t="s">
        <v>47</v>
      </c>
      <c r="K79" t="s">
        <v>24</v>
      </c>
      <c r="L79">
        <v>29</v>
      </c>
      <c r="M79" t="str">
        <f t="shared" si="1"/>
        <v>Adolescent</v>
      </c>
      <c r="N79" t="s">
        <v>15</v>
      </c>
    </row>
    <row r="80" spans="1:14" x14ac:dyDescent="0.35">
      <c r="A80">
        <v>15752</v>
      </c>
      <c r="B80" t="s">
        <v>37</v>
      </c>
      <c r="C80" t="s">
        <v>40</v>
      </c>
      <c r="D80" s="3">
        <v>80000</v>
      </c>
      <c r="E80">
        <v>2</v>
      </c>
      <c r="F80" t="s">
        <v>27</v>
      </c>
      <c r="G80" t="s">
        <v>14</v>
      </c>
      <c r="H80" t="s">
        <v>18</v>
      </c>
      <c r="I80">
        <v>2</v>
      </c>
      <c r="J80" t="s">
        <v>26</v>
      </c>
      <c r="K80" t="s">
        <v>24</v>
      </c>
      <c r="L80">
        <v>50</v>
      </c>
      <c r="M80" t="str">
        <f t="shared" si="1"/>
        <v>Middle age</v>
      </c>
      <c r="N80" t="s">
        <v>15</v>
      </c>
    </row>
    <row r="81" spans="1:14" x14ac:dyDescent="0.35">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40</v>
      </c>
      <c r="D84" s="3">
        <v>30000</v>
      </c>
      <c r="E84">
        <v>0</v>
      </c>
      <c r="F84" t="s">
        <v>13</v>
      </c>
      <c r="G84" t="s">
        <v>20</v>
      </c>
      <c r="H84" t="s">
        <v>15</v>
      </c>
      <c r="I84">
        <v>0</v>
      </c>
      <c r="J84" t="s">
        <v>16</v>
      </c>
      <c r="K84" t="s">
        <v>17</v>
      </c>
      <c r="L84">
        <v>47</v>
      </c>
      <c r="M84" t="str">
        <f t="shared" si="1"/>
        <v>Middle age</v>
      </c>
      <c r="N84" t="s">
        <v>15</v>
      </c>
    </row>
    <row r="85" spans="1:14" x14ac:dyDescent="0.35">
      <c r="A85">
        <v>28412</v>
      </c>
      <c r="B85" t="s">
        <v>38</v>
      </c>
      <c r="C85" t="s">
        <v>40</v>
      </c>
      <c r="D85" s="3">
        <v>20000</v>
      </c>
      <c r="E85">
        <v>0</v>
      </c>
      <c r="F85" t="s">
        <v>27</v>
      </c>
      <c r="G85" t="s">
        <v>25</v>
      </c>
      <c r="H85" t="s">
        <v>18</v>
      </c>
      <c r="I85">
        <v>1</v>
      </c>
      <c r="J85" t="s">
        <v>22</v>
      </c>
      <c r="K85" t="s">
        <v>17</v>
      </c>
      <c r="L85">
        <v>29</v>
      </c>
      <c r="M85" t="str">
        <f t="shared" si="1"/>
        <v>Adolescent</v>
      </c>
      <c r="N85" t="s">
        <v>18</v>
      </c>
    </row>
    <row r="86" spans="1:14" x14ac:dyDescent="0.35">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35">
      <c r="A87">
        <v>16514</v>
      </c>
      <c r="B87" t="s">
        <v>38</v>
      </c>
      <c r="C87" t="s">
        <v>40</v>
      </c>
      <c r="D87" s="3">
        <v>10000</v>
      </c>
      <c r="E87">
        <v>0</v>
      </c>
      <c r="F87" t="s">
        <v>19</v>
      </c>
      <c r="G87" t="s">
        <v>25</v>
      </c>
      <c r="H87" t="s">
        <v>15</v>
      </c>
      <c r="I87">
        <v>1</v>
      </c>
      <c r="J87" t="s">
        <v>26</v>
      </c>
      <c r="K87" t="s">
        <v>24</v>
      </c>
      <c r="L87">
        <v>26</v>
      </c>
      <c r="M87" t="str">
        <f t="shared" si="1"/>
        <v>Adolescent</v>
      </c>
      <c r="N87" t="s">
        <v>15</v>
      </c>
    </row>
    <row r="88" spans="1:14" x14ac:dyDescent="0.35">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40</v>
      </c>
      <c r="D89" s="3">
        <v>80000</v>
      </c>
      <c r="E89">
        <v>5</v>
      </c>
      <c r="F89" t="s">
        <v>13</v>
      </c>
      <c r="G89" t="s">
        <v>21</v>
      </c>
      <c r="H89" t="s">
        <v>15</v>
      </c>
      <c r="I89">
        <v>4</v>
      </c>
      <c r="J89" t="s">
        <v>26</v>
      </c>
      <c r="K89" t="s">
        <v>24</v>
      </c>
      <c r="L89">
        <v>40</v>
      </c>
      <c r="M89" t="str">
        <f t="shared" si="1"/>
        <v>Middle age</v>
      </c>
      <c r="N89" t="s">
        <v>18</v>
      </c>
    </row>
    <row r="90" spans="1:14" x14ac:dyDescent="0.35">
      <c r="A90">
        <v>24119</v>
      </c>
      <c r="B90" t="s">
        <v>38</v>
      </c>
      <c r="C90" t="s">
        <v>40</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40</v>
      </c>
      <c r="D91" s="3">
        <v>20000</v>
      </c>
      <c r="E91">
        <v>1</v>
      </c>
      <c r="F91" t="s">
        <v>27</v>
      </c>
      <c r="G91" t="s">
        <v>25</v>
      </c>
      <c r="H91" t="s">
        <v>18</v>
      </c>
      <c r="I91">
        <v>1</v>
      </c>
      <c r="J91" t="s">
        <v>26</v>
      </c>
      <c r="K91" t="s">
        <v>17</v>
      </c>
      <c r="L91">
        <v>40</v>
      </c>
      <c r="M91" t="str">
        <f t="shared" si="1"/>
        <v>Middle age</v>
      </c>
      <c r="N91" t="s">
        <v>15</v>
      </c>
    </row>
    <row r="92" spans="1:14" x14ac:dyDescent="0.3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38</v>
      </c>
      <c r="C93" t="s">
        <v>40</v>
      </c>
      <c r="D93" s="3">
        <v>30000</v>
      </c>
      <c r="E93">
        <v>0</v>
      </c>
      <c r="F93" t="s">
        <v>19</v>
      </c>
      <c r="G93" t="s">
        <v>20</v>
      </c>
      <c r="H93" t="s">
        <v>18</v>
      </c>
      <c r="I93">
        <v>1</v>
      </c>
      <c r="J93" t="s">
        <v>16</v>
      </c>
      <c r="K93" t="s">
        <v>17</v>
      </c>
      <c r="L93">
        <v>30</v>
      </c>
      <c r="M93" t="str">
        <f t="shared" si="1"/>
        <v>Adolescent</v>
      </c>
      <c r="N93" t="s">
        <v>15</v>
      </c>
    </row>
    <row r="94" spans="1:14" x14ac:dyDescent="0.35">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38</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37</v>
      </c>
      <c r="C98" t="s">
        <v>40</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40</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40</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40</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40</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40</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38</v>
      </c>
      <c r="C117" t="s">
        <v>40</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40</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40</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39</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40</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40</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40</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5">
      <c r="A132">
        <v>12993</v>
      </c>
      <c r="B132" t="s">
        <v>37</v>
      </c>
      <c r="C132" t="s">
        <v>40</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40</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40</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40</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40</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39</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40</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40</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40</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40</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40</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40</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40</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40</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40</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40</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40</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37</v>
      </c>
      <c r="C190" t="s">
        <v>39</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37</v>
      </c>
      <c r="C191" t="s">
        <v>40</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40</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37</v>
      </c>
      <c r="C195" t="s">
        <v>39</v>
      </c>
      <c r="D195" s="3">
        <v>70000</v>
      </c>
      <c r="E195">
        <v>5</v>
      </c>
      <c r="F195" t="s">
        <v>13</v>
      </c>
      <c r="G195" t="s">
        <v>21</v>
      </c>
      <c r="H195" t="s">
        <v>15</v>
      </c>
      <c r="I195">
        <v>4</v>
      </c>
      <c r="J195" t="s">
        <v>47</v>
      </c>
      <c r="K195" t="s">
        <v>24</v>
      </c>
      <c r="L195">
        <v>41</v>
      </c>
      <c r="M195" t="str">
        <f t="shared" ref="M195:M258" si="3">IF(L195&gt;=55,"old",IF(L195&gt;=31,"Middle age",IF(L195&lt;31,"Adolescent","invalid")))</f>
        <v>Middle age</v>
      </c>
      <c r="N195" t="s">
        <v>18</v>
      </c>
    </row>
    <row r="196" spans="1:14" x14ac:dyDescent="0.35">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40</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40</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40</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40</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40</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40</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38</v>
      </c>
      <c r="C215" t="s">
        <v>40</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37</v>
      </c>
      <c r="C216" t="s">
        <v>40</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40</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40</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40</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39</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40</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40</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40</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37</v>
      </c>
      <c r="C232" t="s">
        <v>40</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40</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38</v>
      </c>
      <c r="C236" t="s">
        <v>40</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40</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40</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39</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37</v>
      </c>
      <c r="C247" t="s">
        <v>40</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39</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40</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40</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40</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40</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5">
      <c r="A260">
        <v>14193</v>
      </c>
      <c r="B260" t="s">
        <v>38</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37</v>
      </c>
      <c r="C261" t="s">
        <v>40</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39</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37</v>
      </c>
      <c r="C266" t="s">
        <v>40</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40</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40</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40</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40</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40</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40</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39</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40</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40</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40</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40</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40</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40</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40</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40</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40</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40</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40</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40</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40</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5">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40</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40</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38</v>
      </c>
      <c r="C332" t="s">
        <v>39</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37</v>
      </c>
      <c r="C333" t="s">
        <v>40</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40</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40</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40</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40</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40</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40</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40</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40</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38</v>
      </c>
      <c r="C352" t="s">
        <v>40</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40</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40</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40</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40</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40</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39</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40</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40</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40</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40</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40</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40</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40</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40</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37</v>
      </c>
      <c r="C385" t="s">
        <v>40</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38</v>
      </c>
      <c r="C387" t="s">
        <v>40</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5">
      <c r="A388">
        <v>28957</v>
      </c>
      <c r="B388" t="s">
        <v>38</v>
      </c>
      <c r="C388" t="s">
        <v>39</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40</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39</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40</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40</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40</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40</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40</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37</v>
      </c>
      <c r="C423" t="s">
        <v>40</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40</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40</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40</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40</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38</v>
      </c>
      <c r="C433" t="s">
        <v>40</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39</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40</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40</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37</v>
      </c>
      <c r="C443" t="s">
        <v>40</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39</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5">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40</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38</v>
      </c>
      <c r="C461" t="s">
        <v>39</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40</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40</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40</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40</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40</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40</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40</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37</v>
      </c>
      <c r="C489" t="s">
        <v>40</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40</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40</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40</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40</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37</v>
      </c>
      <c r="C496" t="s">
        <v>40</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40</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40</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40</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40</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40</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40</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40</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40</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39</v>
      </c>
      <c r="D515" s="3">
        <v>60000</v>
      </c>
      <c r="E515">
        <v>4</v>
      </c>
      <c r="F515" t="s">
        <v>31</v>
      </c>
      <c r="G515" t="s">
        <v>28</v>
      </c>
      <c r="H515" t="s">
        <v>15</v>
      </c>
      <c r="I515">
        <v>2</v>
      </c>
      <c r="J515" t="s">
        <v>47</v>
      </c>
      <c r="K515" t="s">
        <v>32</v>
      </c>
      <c r="L515">
        <v>61</v>
      </c>
      <c r="M515" t="str">
        <f t="shared" ref="M515:M578" si="8">IF(L515&gt;=55,"old",IF(L515&gt;=31,"Middle age",IF(L515&lt;31,"Adolescent","invalid")))</f>
        <v>old</v>
      </c>
      <c r="N515" t="s">
        <v>15</v>
      </c>
    </row>
    <row r="516" spans="1:14" x14ac:dyDescent="0.35">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40</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40</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40</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40</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40</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40</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37</v>
      </c>
      <c r="C532" t="s">
        <v>40</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38</v>
      </c>
      <c r="C533" t="s">
        <v>40</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40</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37</v>
      </c>
      <c r="C536" t="s">
        <v>40</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37</v>
      </c>
      <c r="C537" t="s">
        <v>40</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40</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40</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40</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40</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40</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38</v>
      </c>
      <c r="C554" t="s">
        <v>40</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37</v>
      </c>
      <c r="C555" t="s">
        <v>40</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40</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38</v>
      </c>
      <c r="C566" t="s">
        <v>40</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40</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40</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40</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40</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37</v>
      </c>
      <c r="C572" t="s">
        <v>40</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40</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38</v>
      </c>
      <c r="C574" t="s">
        <v>40</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40</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40</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40</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5">
      <c r="A580">
        <v>15313</v>
      </c>
      <c r="B580" t="s">
        <v>37</v>
      </c>
      <c r="C580" t="s">
        <v>40</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37</v>
      </c>
      <c r="C583" t="s">
        <v>40</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40</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40</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40</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39</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38</v>
      </c>
      <c r="C591" t="s">
        <v>40</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40</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40</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40</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40</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40</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40</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39</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37</v>
      </c>
      <c r="C610" t="s">
        <v>40</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40</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40</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40</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40</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40</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40</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40</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40</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40</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40</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40</v>
      </c>
      <c r="D643" s="3">
        <v>50000</v>
      </c>
      <c r="E643">
        <v>4</v>
      </c>
      <c r="F643" t="s">
        <v>13</v>
      </c>
      <c r="G643" t="s">
        <v>28</v>
      </c>
      <c r="H643" t="s">
        <v>15</v>
      </c>
      <c r="I643">
        <v>2</v>
      </c>
      <c r="J643" t="s">
        <v>47</v>
      </c>
      <c r="K643" t="s">
        <v>32</v>
      </c>
      <c r="L643">
        <v>64</v>
      </c>
      <c r="M643" t="str">
        <f t="shared" ref="M643:M706" si="10">IF(L643&gt;=55,"old",IF(L643&gt;=31,"Middle age",IF(L643&lt;31,"Adolescent","invalid")))</f>
        <v>old</v>
      </c>
      <c r="N643" t="s">
        <v>18</v>
      </c>
    </row>
    <row r="644" spans="1:14" x14ac:dyDescent="0.3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39</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40</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40</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40</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40</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40</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40</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40</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40</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40</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40</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40</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40</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40</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38</v>
      </c>
      <c r="C690" t="s">
        <v>40</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40</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40</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40</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40</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40</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40</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40</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40</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39</v>
      </c>
      <c r="D707" s="3">
        <v>70000</v>
      </c>
      <c r="E707">
        <v>4</v>
      </c>
      <c r="F707" t="s">
        <v>13</v>
      </c>
      <c r="G707" t="s">
        <v>28</v>
      </c>
      <c r="H707" t="s">
        <v>15</v>
      </c>
      <c r="I707">
        <v>1</v>
      </c>
      <c r="J707" t="s">
        <v>47</v>
      </c>
      <c r="K707" t="s">
        <v>32</v>
      </c>
      <c r="L707">
        <v>59</v>
      </c>
      <c r="M707" t="str">
        <f t="shared" ref="M707:M770" si="11">IF(L707&gt;=55,"old",IF(L707&gt;=31,"Middle age",IF(L707&lt;31,"Adolescent","invalid")))</f>
        <v>old</v>
      </c>
      <c r="N707" t="s">
        <v>18</v>
      </c>
    </row>
    <row r="708" spans="1:14" x14ac:dyDescent="0.35">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40</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38</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37</v>
      </c>
      <c r="C712" t="s">
        <v>40</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40</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40</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40</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40</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40</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40</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40</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40</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40</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40</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37</v>
      </c>
      <c r="C742" t="s">
        <v>40</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40</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40</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37</v>
      </c>
      <c r="C747" t="s">
        <v>40</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40</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40</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40</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40</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40</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40</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40</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40</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5">
      <c r="A772">
        <v>17699</v>
      </c>
      <c r="B772" t="s">
        <v>37</v>
      </c>
      <c r="C772" t="s">
        <v>40</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40</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40</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40</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40</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40</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37</v>
      </c>
      <c r="C783" t="s">
        <v>40</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40</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40</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40</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40</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40</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40</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40</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40</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40</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40</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40</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40</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37</v>
      </c>
      <c r="C815" t="s">
        <v>39</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40</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40</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40</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40</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40</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40</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40</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5">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40</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40</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37</v>
      </c>
      <c r="C843" t="s">
        <v>40</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40</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40</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40</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40</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40</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40</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37</v>
      </c>
      <c r="C869" t="s">
        <v>40</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40</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40</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40</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40</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40</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40</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40</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40</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40</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40</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40</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40</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40</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40</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40</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40</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5">
      <c r="A900">
        <v>18066</v>
      </c>
      <c r="B900" t="s">
        <v>38</v>
      </c>
      <c r="C900" t="s">
        <v>40</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37</v>
      </c>
      <c r="C901" t="s">
        <v>39</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37</v>
      </c>
      <c r="C902" t="s">
        <v>40</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40</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40</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40</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40</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40</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37</v>
      </c>
      <c r="C922" t="s">
        <v>40</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40</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40</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40</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38</v>
      </c>
      <c r="C935" t="s">
        <v>40</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40</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40</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40</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40</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40</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40</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40</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5">
      <c r="A964">
        <v>16813</v>
      </c>
      <c r="B964" t="s">
        <v>37</v>
      </c>
      <c r="C964" t="s">
        <v>40</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40</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40</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40</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40</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40</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40</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40</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40</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39</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37</v>
      </c>
      <c r="C983" t="s">
        <v>40</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40</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40</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40</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38</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37</v>
      </c>
      <c r="C990" t="s">
        <v>40</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37</v>
      </c>
      <c r="C991" t="s">
        <v>40</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40</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40</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40</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40</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40</v>
      </c>
      <c r="D1001" s="3">
        <v>60000</v>
      </c>
      <c r="E1001">
        <v>3</v>
      </c>
      <c r="F1001" t="s">
        <v>27</v>
      </c>
      <c r="G1001" t="s">
        <v>21</v>
      </c>
      <c r="H1001" t="s">
        <v>15</v>
      </c>
      <c r="I1001">
        <v>2</v>
      </c>
      <c r="J1001" t="s">
        <v>47</v>
      </c>
      <c r="K1001" t="s">
        <v>32</v>
      </c>
      <c r="L1001">
        <v>53</v>
      </c>
      <c r="M1001" t="str">
        <f t="shared" si="15"/>
        <v>Middle age</v>
      </c>
      <c r="N1001" t="s">
        <v>15</v>
      </c>
    </row>
  </sheetData>
  <autoFilter ref="A1:N1001" xr:uid="{461C44A1-BCE7-4837-9D81-E68F1A53660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B35DD-1DC9-4969-A0B9-2D14D6457CEF}">
  <dimension ref="A1:D37"/>
  <sheetViews>
    <sheetView topLeftCell="A26" workbookViewId="0">
      <selection activeCell="P36" sqref="P36"/>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45</v>
      </c>
      <c r="B1" s="4" t="s">
        <v>44</v>
      </c>
    </row>
    <row r="2" spans="1:4" x14ac:dyDescent="0.35">
      <c r="A2" s="4" t="s">
        <v>42</v>
      </c>
      <c r="B2" t="s">
        <v>18</v>
      </c>
      <c r="C2" t="s">
        <v>15</v>
      </c>
      <c r="D2" t="s">
        <v>43</v>
      </c>
    </row>
    <row r="3" spans="1:4" x14ac:dyDescent="0.35">
      <c r="A3" s="5" t="s">
        <v>39</v>
      </c>
      <c r="B3" s="3">
        <v>28928.571428571428</v>
      </c>
      <c r="C3" s="3">
        <v>32000</v>
      </c>
      <c r="D3" s="3">
        <v>29736.842105263157</v>
      </c>
    </row>
    <row r="4" spans="1:4" x14ac:dyDescent="0.35">
      <c r="A4" s="5" t="s">
        <v>40</v>
      </c>
      <c r="B4" s="3">
        <v>32500</v>
      </c>
      <c r="C4" s="3">
        <v>58000</v>
      </c>
      <c r="D4" s="3">
        <v>39210.526315789473</v>
      </c>
    </row>
    <row r="5" spans="1:4" x14ac:dyDescent="0.35">
      <c r="A5" s="5" t="s">
        <v>43</v>
      </c>
      <c r="B5" s="3">
        <v>30714.285714285714</v>
      </c>
      <c r="C5" s="3">
        <v>45000</v>
      </c>
      <c r="D5" s="3">
        <v>34473.684210526313</v>
      </c>
    </row>
    <row r="18" spans="1:4" x14ac:dyDescent="0.35">
      <c r="A18" s="4" t="s">
        <v>46</v>
      </c>
      <c r="B18" s="4" t="s">
        <v>44</v>
      </c>
    </row>
    <row r="19" spans="1:4" x14ac:dyDescent="0.35">
      <c r="A19" s="4" t="s">
        <v>42</v>
      </c>
      <c r="B19" t="s">
        <v>18</v>
      </c>
      <c r="C19" t="s">
        <v>15</v>
      </c>
      <c r="D19" t="s">
        <v>43</v>
      </c>
    </row>
    <row r="20" spans="1:4" x14ac:dyDescent="0.35">
      <c r="A20" s="5" t="s">
        <v>16</v>
      </c>
      <c r="B20" s="9">
        <v>23</v>
      </c>
      <c r="C20" s="9">
        <v>5</v>
      </c>
      <c r="D20" s="9">
        <v>28</v>
      </c>
    </row>
    <row r="21" spans="1:4" x14ac:dyDescent="0.35">
      <c r="A21" s="5" t="s">
        <v>26</v>
      </c>
      <c r="B21" s="9">
        <v>15</v>
      </c>
      <c r="C21" s="9">
        <v>4</v>
      </c>
      <c r="D21" s="9">
        <v>19</v>
      </c>
    </row>
    <row r="22" spans="1:4" x14ac:dyDescent="0.35">
      <c r="A22" s="5" t="s">
        <v>22</v>
      </c>
      <c r="B22" s="9">
        <v>1</v>
      </c>
      <c r="C22" s="9">
        <v>1</v>
      </c>
      <c r="D22" s="9">
        <v>2</v>
      </c>
    </row>
    <row r="23" spans="1:4" x14ac:dyDescent="0.35">
      <c r="A23" s="5" t="s">
        <v>23</v>
      </c>
      <c r="B23" s="9">
        <v>13</v>
      </c>
      <c r="C23" s="9">
        <v>5</v>
      </c>
      <c r="D23" s="9">
        <v>18</v>
      </c>
    </row>
    <row r="24" spans="1:4" x14ac:dyDescent="0.35">
      <c r="A24" s="5" t="s">
        <v>47</v>
      </c>
      <c r="B24" s="9">
        <v>4</v>
      </c>
      <c r="C24" s="9">
        <v>5</v>
      </c>
      <c r="D24" s="9">
        <v>9</v>
      </c>
    </row>
    <row r="25" spans="1:4" x14ac:dyDescent="0.35">
      <c r="A25" s="5" t="s">
        <v>43</v>
      </c>
      <c r="B25" s="9">
        <v>56</v>
      </c>
      <c r="C25" s="9">
        <v>20</v>
      </c>
      <c r="D25" s="9">
        <v>76</v>
      </c>
    </row>
    <row r="32" spans="1:4" x14ac:dyDescent="0.35">
      <c r="A32" s="4" t="s">
        <v>46</v>
      </c>
      <c r="B32" s="4" t="s">
        <v>44</v>
      </c>
    </row>
    <row r="33" spans="1:4" x14ac:dyDescent="0.35">
      <c r="A33" s="4" t="s">
        <v>42</v>
      </c>
      <c r="B33" t="s">
        <v>18</v>
      </c>
      <c r="C33" t="s">
        <v>15</v>
      </c>
      <c r="D33" t="s">
        <v>43</v>
      </c>
    </row>
    <row r="34" spans="1:4" x14ac:dyDescent="0.35">
      <c r="A34" s="5" t="s">
        <v>48</v>
      </c>
      <c r="B34" s="9">
        <v>12</v>
      </c>
      <c r="C34" s="9">
        <v>1</v>
      </c>
      <c r="D34" s="9">
        <v>13</v>
      </c>
    </row>
    <row r="35" spans="1:4" x14ac:dyDescent="0.35">
      <c r="A35" s="5" t="s">
        <v>49</v>
      </c>
      <c r="B35" s="9">
        <v>37</v>
      </c>
      <c r="C35" s="9">
        <v>15</v>
      </c>
      <c r="D35" s="9">
        <v>52</v>
      </c>
    </row>
    <row r="36" spans="1:4" x14ac:dyDescent="0.35">
      <c r="A36" s="5" t="s">
        <v>50</v>
      </c>
      <c r="B36" s="9">
        <v>7</v>
      </c>
      <c r="C36" s="9">
        <v>4</v>
      </c>
      <c r="D36" s="9">
        <v>11</v>
      </c>
    </row>
    <row r="37" spans="1:4" x14ac:dyDescent="0.35">
      <c r="A37" s="5" t="s">
        <v>43</v>
      </c>
      <c r="B37" s="9">
        <v>56</v>
      </c>
      <c r="C37" s="9">
        <v>20</v>
      </c>
      <c r="D37" s="9">
        <v>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664B-05DE-4E03-9667-8108F9A14E9F}">
  <dimension ref="C7:P11"/>
  <sheetViews>
    <sheetView showGridLines="0" tabSelected="1" topLeftCell="A14" zoomScaleNormal="100" workbookViewId="0">
      <selection activeCell="O29" sqref="O29"/>
    </sheetView>
  </sheetViews>
  <sheetFormatPr defaultRowHeight="14.5" x14ac:dyDescent="0.35"/>
  <sheetData>
    <row r="7" spans="3:16" x14ac:dyDescent="0.35">
      <c r="C7" s="6"/>
      <c r="D7" s="6"/>
      <c r="E7" s="6"/>
      <c r="F7" s="6"/>
      <c r="G7" s="6"/>
      <c r="H7" s="6"/>
      <c r="I7" s="6"/>
      <c r="J7" s="6"/>
      <c r="K7" s="6"/>
      <c r="L7" s="6"/>
      <c r="M7" s="6"/>
      <c r="N7" s="6"/>
      <c r="O7" s="6"/>
      <c r="P7" s="6"/>
    </row>
    <row r="8" spans="3:16" x14ac:dyDescent="0.35">
      <c r="C8" s="6"/>
      <c r="D8" s="6"/>
      <c r="E8" s="6"/>
      <c r="F8" s="6"/>
      <c r="G8" s="6"/>
      <c r="H8" s="6"/>
      <c r="I8" s="6"/>
      <c r="J8" s="6"/>
      <c r="K8" s="6"/>
      <c r="L8" s="6"/>
      <c r="M8" s="6"/>
      <c r="N8" s="6"/>
      <c r="O8" s="6"/>
      <c r="P8" s="6"/>
    </row>
    <row r="9" spans="3:16" ht="36" x14ac:dyDescent="0.35">
      <c r="C9" s="6"/>
      <c r="D9" s="6"/>
      <c r="E9" s="6"/>
      <c r="F9" s="7"/>
      <c r="G9" s="7"/>
      <c r="H9" s="8" t="s">
        <v>51</v>
      </c>
      <c r="I9" s="7"/>
      <c r="J9" s="7"/>
      <c r="K9" s="6"/>
      <c r="L9" s="6"/>
      <c r="M9" s="6"/>
      <c r="N9" s="6"/>
      <c r="O9" s="6"/>
      <c r="P9" s="6"/>
    </row>
    <row r="10" spans="3:16" x14ac:dyDescent="0.35">
      <c r="C10" s="6"/>
      <c r="D10" s="6"/>
      <c r="E10" s="6"/>
      <c r="F10" s="6"/>
      <c r="G10" s="6"/>
      <c r="H10" s="6"/>
      <c r="I10" s="6"/>
      <c r="J10" s="6"/>
      <c r="K10" s="6"/>
      <c r="L10" s="6"/>
      <c r="M10" s="6"/>
      <c r="N10" s="6"/>
      <c r="O10" s="6"/>
      <c r="P10" s="6"/>
    </row>
    <row r="11" spans="3:16" x14ac:dyDescent="0.35">
      <c r="C11" s="6"/>
      <c r="D11" s="6"/>
      <c r="E11" s="6"/>
      <c r="F11" s="6"/>
      <c r="G11" s="6"/>
      <c r="H11" s="6"/>
      <c r="I11" s="6"/>
      <c r="J11" s="6"/>
      <c r="K11" s="6"/>
      <c r="L11" s="6"/>
      <c r="M11" s="6"/>
      <c r="N11" s="6"/>
      <c r="O11" s="6"/>
      <c r="P1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Srivalli Potla</cp:lastModifiedBy>
  <dcterms:created xsi:type="dcterms:W3CDTF">2022-03-18T02:50:57Z</dcterms:created>
  <dcterms:modified xsi:type="dcterms:W3CDTF">2026-07-20T19:02:13Z</dcterms:modified>
</cp:coreProperties>
</file>